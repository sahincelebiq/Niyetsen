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nel Modeli" sheetId="1" r:id="rId5"/>
  </sheets>
  <definedNames/>
  <calcPr/>
</workbook>
</file>

<file path=xl/sharedStrings.xml><?xml version="1.0" encoding="utf-8"?>
<sst xmlns="http://schemas.openxmlformats.org/spreadsheetml/2006/main" count="28" uniqueCount="28">
  <si>
    <t>Niyetsen — İndirme → Ödeyen Funnel Modeli</t>
  </si>
  <si>
    <t>Mavi hücreler = değiştirebileceğin girdiler · Siyah = otomatik hesaplanan formül</t>
  </si>
  <si>
    <t>Genel Varsayımlar</t>
  </si>
  <si>
    <t>Abonelik fiyatı (TL/ay)</t>
  </si>
  <si>
    <t>Store kesintisi (%)</t>
  </si>
  <si>
    <t>Metrik</t>
  </si>
  <si>
    <t>Kötü</t>
  </si>
  <si>
    <t>Orta</t>
  </si>
  <si>
    <t>İyi</t>
  </si>
  <si>
    <t>İndirme</t>
  </si>
  <si>
    <t>D1 tutma %</t>
  </si>
  <si>
    <t>D1 kalan kişi</t>
  </si>
  <si>
    <t>D7 tutma %</t>
  </si>
  <si>
    <t>D7 kalan kişi</t>
  </si>
  <si>
    <t>D30 tutma %</t>
  </si>
  <si>
    <t>D30 kalan kişi</t>
  </si>
  <si>
    <t>Satın alma % (indirme bazlı)</t>
  </si>
  <si>
    <t>Ödeyen abone</t>
  </si>
  <si>
    <t>Aylık brüt gelir (TL)</t>
  </si>
  <si>
    <t>Store kesintisi tutarı (TL)</t>
  </si>
  <si>
    <t>Aylık net gelir (TL)</t>
  </si>
  <si>
    <t>Yıllık net — basit (×12, churn hariç)</t>
  </si>
  <si>
    <t>Notlar:</t>
  </si>
  <si>
    <t>• Mavi hücreleri (indirme, yüzdeler, fiyat, store kesintisi) değiştir; tüm hesaplar otomatik güncellenir.</t>
  </si>
  <si>
    <t>• 'Satın alma %' indirme tabanına göredir (D30 tabanına değil) — hard paywall mantığı.</t>
  </si>
  <si>
    <t>• 'Yıllık net — basit' churn'ü YOK SAYAR; gerçek yıllık gelir abone ömrü kısaldıkça daha düşüktür.</t>
  </si>
  <si>
    <t xml:space="preserve">  Gerçekçi abone ömrü 2–4 ay (bkz. iş planı §8 Birim Ekonomisi).</t>
  </si>
  <si>
    <t>• Kaynak: AppsFlyer/Statista/UXCam 2026 retention benchmark + RevenueCat hard paywall dönüşüm verisi.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</si>
</sst>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 TL&quot;"/>
    <numFmt numFmtId="165" formatCode="0.0%"/>
  </numFmts>
  <fonts count="12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rgb="FF80808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0000FF"/>
      <name val="Arial"/>
    </font>
    <font>
      <b/>
      <sz val="11.0"/>
      <color rgb="FFFFFFFF"/>
      <name val="Arial"/>
    </font>
    <font>
      <sz val="11.0"/>
      <color rgb="FF0000FF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9.0"/>
      <color rgb="FF000000"/>
      <name val="Arial"/>
    </font>
    <font>
      <i/>
      <sz val="9.0"/>
      <color rgb="FF59595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164" xfId="0" applyAlignment="1" applyBorder="1" applyFill="1" applyFont="1" applyNumberFormat="1">
      <alignment readingOrder="0" shrinkToFit="0" vertical="bottom" wrapText="0"/>
    </xf>
    <xf borderId="1" fillId="2" fontId="5" numFmtId="165" xfId="0" applyAlignment="1" applyBorder="1" applyFont="1" applyNumberFormat="1">
      <alignment shrinkToFit="0" vertical="bottom" wrapText="0"/>
    </xf>
    <xf borderId="1" fillId="3" fontId="6" numFmtId="0" xfId="0" applyAlignment="1" applyBorder="1" applyFill="1" applyFont="1">
      <alignment horizontal="left" shrinkToFit="0" vertical="bottom" wrapText="0"/>
    </xf>
    <xf borderId="1" fillId="3" fontId="6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7" numFmtId="3" xfId="0" applyAlignment="1" applyBorder="1" applyFont="1" applyNumberFormat="1">
      <alignment horizontal="right" readingOrder="0"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4" fontId="7" numFmtId="165" xfId="0" applyAlignment="1" applyBorder="1" applyFont="1" applyNumberFormat="1">
      <alignment horizontal="right" shrinkToFit="0" vertical="bottom" wrapText="0"/>
    </xf>
    <xf borderId="1" fillId="0" fontId="8" numFmtId="3" xfId="0" applyAlignment="1" applyBorder="1" applyFont="1" applyNumberFormat="1">
      <alignment horizontal="right" shrinkToFit="0" vertical="bottom" wrapText="0"/>
    </xf>
    <xf borderId="1" fillId="4" fontId="8" numFmtId="164" xfId="0" applyAlignment="1" applyBorder="1" applyFont="1" applyNumberFormat="1">
      <alignment horizontal="right" shrinkToFit="0" vertical="bottom" wrapText="0"/>
    </xf>
    <xf borderId="1" fillId="0" fontId="8" numFmtId="164" xfId="0" applyAlignment="1" applyBorder="1" applyFont="1" applyNumberFormat="1">
      <alignment horizontal="right"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4" fontId="9" numFmtId="164" xfId="0" applyAlignment="1" applyBorder="1" applyFont="1" applyNumberFormat="1">
      <alignment horizontal="right"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36.0"/>
    <col customWidth="1" min="2" max="4" width="16.0"/>
    <col customWidth="1" min="5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>
        <v>450.0</v>
      </c>
    </row>
    <row r="6">
      <c r="A6" s="4" t="s">
        <v>4</v>
      </c>
      <c r="B6" s="6">
        <v>0.3</v>
      </c>
    </row>
    <row r="8">
      <c r="A8" s="7" t="s">
        <v>5</v>
      </c>
      <c r="B8" s="8" t="s">
        <v>6</v>
      </c>
      <c r="C8" s="8" t="s">
        <v>7</v>
      </c>
      <c r="D8" s="8" t="s">
        <v>8</v>
      </c>
    </row>
    <row r="9">
      <c r="A9" s="9" t="s">
        <v>9</v>
      </c>
      <c r="B9" s="10">
        <v>1000.0</v>
      </c>
      <c r="C9" s="10">
        <v>1000.0</v>
      </c>
      <c r="D9" s="10">
        <v>1000.0</v>
      </c>
    </row>
    <row r="10">
      <c r="A10" s="11" t="s">
        <v>10</v>
      </c>
      <c r="B10" s="12">
        <v>0.22</v>
      </c>
      <c r="C10" s="12">
        <v>0.28</v>
      </c>
      <c r="D10" s="12">
        <v>0.35</v>
      </c>
    </row>
    <row r="11">
      <c r="A11" s="9" t="s">
        <v>11</v>
      </c>
      <c r="B11" s="13">
        <f t="shared" ref="B11:D11" si="1">B9*B10</f>
        <v>220</v>
      </c>
      <c r="C11" s="13">
        <f t="shared" si="1"/>
        <v>280</v>
      </c>
      <c r="D11" s="13">
        <f t="shared" si="1"/>
        <v>350</v>
      </c>
    </row>
    <row r="12">
      <c r="A12" s="11" t="s">
        <v>12</v>
      </c>
      <c r="B12" s="12">
        <v>0.08</v>
      </c>
      <c r="C12" s="12">
        <v>0.12</v>
      </c>
      <c r="D12" s="12">
        <v>0.16</v>
      </c>
    </row>
    <row r="13">
      <c r="A13" s="9" t="s">
        <v>13</v>
      </c>
      <c r="B13" s="13">
        <f t="shared" ref="B13:D13" si="2">B9*B12</f>
        <v>80</v>
      </c>
      <c r="C13" s="13">
        <f t="shared" si="2"/>
        <v>120</v>
      </c>
      <c r="D13" s="13">
        <f t="shared" si="2"/>
        <v>160</v>
      </c>
    </row>
    <row r="14">
      <c r="A14" s="11" t="s">
        <v>14</v>
      </c>
      <c r="B14" s="12">
        <v>0.04</v>
      </c>
      <c r="C14" s="12">
        <v>0.07</v>
      </c>
      <c r="D14" s="12">
        <v>0.11</v>
      </c>
    </row>
    <row r="15">
      <c r="A15" s="9" t="s">
        <v>15</v>
      </c>
      <c r="B15" s="13">
        <f t="shared" ref="B15:D15" si="3">B9*B14</f>
        <v>40</v>
      </c>
      <c r="C15" s="13">
        <f t="shared" si="3"/>
        <v>70</v>
      </c>
      <c r="D15" s="13">
        <f t="shared" si="3"/>
        <v>110</v>
      </c>
    </row>
    <row r="16">
      <c r="A16" s="11" t="s">
        <v>16</v>
      </c>
      <c r="B16" s="12">
        <v>0.015</v>
      </c>
      <c r="C16" s="12">
        <v>0.03</v>
      </c>
      <c r="D16" s="12">
        <v>0.05</v>
      </c>
    </row>
    <row r="17">
      <c r="A17" s="9" t="s">
        <v>17</v>
      </c>
      <c r="B17" s="13">
        <f t="shared" ref="B17:D17" si="4">B9*B16</f>
        <v>15</v>
      </c>
      <c r="C17" s="13">
        <f t="shared" si="4"/>
        <v>30</v>
      </c>
      <c r="D17" s="13">
        <f t="shared" si="4"/>
        <v>50</v>
      </c>
    </row>
    <row r="18">
      <c r="A18" s="11" t="s">
        <v>18</v>
      </c>
      <c r="B18" s="14">
        <f t="shared" ref="B18:D18" si="5">B17*$B$5</f>
        <v>6750</v>
      </c>
      <c r="C18" s="14">
        <f t="shared" si="5"/>
        <v>13500</v>
      </c>
      <c r="D18" s="14">
        <f t="shared" si="5"/>
        <v>22500</v>
      </c>
    </row>
    <row r="19">
      <c r="A19" s="9" t="s">
        <v>19</v>
      </c>
      <c r="B19" s="15">
        <f t="shared" ref="B19:D19" si="6">B18*$B$6</f>
        <v>2025</v>
      </c>
      <c r="C19" s="15">
        <f t="shared" si="6"/>
        <v>4050</v>
      </c>
      <c r="D19" s="15">
        <f t="shared" si="6"/>
        <v>6750</v>
      </c>
    </row>
    <row r="20">
      <c r="A20" s="16" t="s">
        <v>20</v>
      </c>
      <c r="B20" s="17">
        <f t="shared" ref="B20:D20" si="7">B18-B19</f>
        <v>4725</v>
      </c>
      <c r="C20" s="17">
        <f t="shared" si="7"/>
        <v>9450</v>
      </c>
      <c r="D20" s="17">
        <f t="shared" si="7"/>
        <v>15750</v>
      </c>
    </row>
    <row r="21" ht="15.75" customHeight="1">
      <c r="A21" s="9" t="s">
        <v>21</v>
      </c>
      <c r="B21" s="15">
        <f t="shared" ref="B21:D21" si="8">B20*12</f>
        <v>56700</v>
      </c>
      <c r="C21" s="15">
        <f t="shared" si="8"/>
        <v>113400</v>
      </c>
      <c r="D21" s="15">
        <f t="shared" si="8"/>
        <v>189000</v>
      </c>
    </row>
    <row r="22" ht="15.75" customHeight="1"/>
    <row r="23" ht="15.75" customHeight="1"/>
    <row r="24" ht="15.75" customHeight="1">
      <c r="A24" s="18" t="s">
        <v>22</v>
      </c>
    </row>
    <row r="25" ht="15.75" customHeight="1">
      <c r="A25" s="19" t="s">
        <v>23</v>
      </c>
    </row>
    <row r="26" ht="15.75" customHeight="1">
      <c r="A26" s="19" t="s">
        <v>24</v>
      </c>
    </row>
    <row r="27" ht="15.75" customHeight="1">
      <c r="A27" s="19" t="s">
        <v>25</v>
      </c>
    </row>
    <row r="28" ht="15.75" customHeight="1">
      <c r="A28" s="19" t="s">
        <v>26</v>
      </c>
    </row>
    <row r="29" ht="15.75" customHeight="1">
      <c r="A29" s="19" t="s">
        <v>27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